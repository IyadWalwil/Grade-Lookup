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An-Najah\Summer_2025_2026\Introduction to Probability Theroy\Exams\"/>
    </mc:Choice>
  </mc:AlternateContent>
  <xr:revisionPtr revIDLastSave="0" documentId="13_ncr:1_{1A9841DF-C3AF-4F5A-BD8C-395A07519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" i="1" l="1"/>
  <c r="I25" i="1"/>
  <c r="I24" i="1"/>
  <c r="J24" i="1"/>
  <c r="L25" i="1"/>
  <c r="L24" i="1"/>
  <c r="N21" i="1"/>
  <c r="L4" i="1"/>
  <c r="N4" i="1" s="1"/>
  <c r="L6" i="1"/>
  <c r="N6" i="1" s="1"/>
  <c r="L8" i="1"/>
  <c r="N8" i="1" s="1"/>
  <c r="L9" i="1"/>
  <c r="N9" i="1" s="1"/>
  <c r="L10" i="1"/>
  <c r="N10" i="1" s="1"/>
  <c r="L11" i="1"/>
  <c r="N11" i="1" s="1"/>
  <c r="L12" i="1"/>
  <c r="N12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L22" i="1"/>
  <c r="N22" i="1" s="1"/>
  <c r="I4" i="1"/>
  <c r="K4" i="1" s="1"/>
  <c r="I5" i="1"/>
  <c r="K5" i="1" s="1"/>
  <c r="L5" i="1" s="1"/>
  <c r="N5" i="1" s="1"/>
  <c r="I6" i="1"/>
  <c r="K6" i="1" s="1"/>
  <c r="I7" i="1"/>
  <c r="K7" i="1" s="1"/>
  <c r="L7" i="1" s="1"/>
  <c r="N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L13" i="1" s="1"/>
  <c r="N13" i="1" s="1"/>
  <c r="I14" i="1"/>
  <c r="K14" i="1" s="1"/>
  <c r="L14" i="1" s="1"/>
  <c r="N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3" i="1"/>
  <c r="K3" i="1" s="1"/>
  <c r="L3" i="1" s="1"/>
  <c r="N3" i="1" s="1"/>
  <c r="N2" i="1"/>
  <c r="E24" i="1"/>
  <c r="E25" i="1" s="1"/>
  <c r="F24" i="1"/>
  <c r="F25" i="1" s="1"/>
  <c r="G24" i="1"/>
  <c r="G25" i="1" s="1"/>
  <c r="H24" i="1"/>
  <c r="H25" i="1" s="1"/>
  <c r="M24" i="1"/>
  <c r="M25" i="1" s="1"/>
  <c r="D24" i="1"/>
  <c r="D25" i="1" s="1"/>
  <c r="N24" i="1" l="1"/>
  <c r="N25" i="1" s="1"/>
  <c r="K24" i="1"/>
  <c r="K25" i="1" s="1"/>
</calcChain>
</file>

<file path=xl/sharedStrings.xml><?xml version="1.0" encoding="utf-8"?>
<sst xmlns="http://schemas.openxmlformats.org/spreadsheetml/2006/main" count="36" uniqueCount="36">
  <si>
    <t>#</t>
  </si>
  <si>
    <t>ID</t>
  </si>
  <si>
    <t>Name</t>
  </si>
  <si>
    <t>Quiz 1</t>
  </si>
  <si>
    <t>Assign 1</t>
  </si>
  <si>
    <t>Midterm</t>
  </si>
  <si>
    <t>Assign 2</t>
  </si>
  <si>
    <t>Quiz 2</t>
  </si>
  <si>
    <t>Total Activities</t>
  </si>
  <si>
    <t>Final</t>
  </si>
  <si>
    <t>Total</t>
  </si>
  <si>
    <t>أمين خليل عبد الرحمن ابو صبيحه</t>
  </si>
  <si>
    <t>احمد اشرف محمد طه</t>
  </si>
  <si>
    <t>اسلام ناصر فايز دراغمه</t>
  </si>
  <si>
    <t>بشرى قاصد جميل سماره</t>
  </si>
  <si>
    <t>جواد محي الدين محمد شاهين</t>
  </si>
  <si>
    <t>خالد غسان أحمد ابوجدي</t>
  </si>
  <si>
    <t>ديما احمد حسين صبح</t>
  </si>
  <si>
    <t>ريان نضال محمود سنونو</t>
  </si>
  <si>
    <t>صالح اسامه عبد الفتاح ابريك</t>
  </si>
  <si>
    <t>عبد الرحيم سلامه عبد الرحيم ابو ناصر</t>
  </si>
  <si>
    <t>عمر اياد عبد العزيز حجي</t>
  </si>
  <si>
    <t>عمر عماد صبحي عيد</t>
  </si>
  <si>
    <t>عمرو بشار برهان عامودي</t>
  </si>
  <si>
    <t>فريده ماهر محمد رزق شحادة</t>
  </si>
  <si>
    <t>مراد يوسف محمد زهير</t>
  </si>
  <si>
    <t>مرح عامر يوسف ديك</t>
  </si>
  <si>
    <t>نصر الله عبد الرحمن اسعد صالحي</t>
  </si>
  <si>
    <t>هادي محمد توفيق بني عوده</t>
  </si>
  <si>
    <t>وديع نزار حامد رواجبه</t>
  </si>
  <si>
    <t>يوسف نعام يوسف عواد</t>
  </si>
  <si>
    <t xml:space="preserve"> </t>
  </si>
  <si>
    <t>AVG</t>
  </si>
  <si>
    <t>Best Quiz</t>
  </si>
  <si>
    <t>Participation</t>
  </si>
  <si>
    <t>Total Pre-Final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</si>
</sst>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9" fontId="20" fillId="0" borderId="16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9" fontId="20" fillId="0" borderId="17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14" sqref="P14"/>
    </sheetView>
  </sheetViews>
  <sheetFormatPr defaultRowHeight="14.4" x14ac:dyDescent="0.3"/>
  <cols>
    <col min="1" max="1" width="4.21875" style="1" customWidth="1"/>
    <col min="2" max="2" width="9.88671875" style="1" bestFit="1" customWidth="1"/>
    <col min="3" max="3" width="31" style="1" customWidth="1"/>
    <col min="4" max="8" width="8.88671875" style="1"/>
    <col min="9" max="9" width="10.21875" style="1" customWidth="1"/>
    <col min="10" max="10" width="13.109375" style="1" customWidth="1"/>
    <col min="11" max="12" width="15.88671875" style="1" customWidth="1"/>
    <col min="13" max="13" width="7.33203125" style="1" customWidth="1"/>
    <col min="14" max="14" width="7.21875" style="1" customWidth="1"/>
    <col min="15" max="16384" width="8.88671875" style="1"/>
  </cols>
  <sheetData>
    <row r="1" spans="1:14" ht="15.6" x14ac:dyDescent="0.3">
      <c r="A1" s="12" t="s">
        <v>0</v>
      </c>
      <c r="B1" s="14" t="s">
        <v>1</v>
      </c>
      <c r="C1" s="14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1" t="s">
        <v>33</v>
      </c>
      <c r="J1" s="11" t="s">
        <v>34</v>
      </c>
      <c r="K1" s="8" t="s">
        <v>8</v>
      </c>
      <c r="L1" s="11" t="s">
        <v>35</v>
      </c>
      <c r="M1" s="8" t="s">
        <v>9</v>
      </c>
      <c r="N1" s="4" t="s">
        <v>10</v>
      </c>
    </row>
    <row r="2" spans="1:14" ht="16.2" thickBot="1" x14ac:dyDescent="0.35">
      <c r="A2" s="13"/>
      <c r="B2" s="15"/>
      <c r="C2" s="15"/>
      <c r="D2" s="5">
        <v>0.1</v>
      </c>
      <c r="E2" s="5">
        <v>0.05</v>
      </c>
      <c r="F2" s="5">
        <v>0.3</v>
      </c>
      <c r="G2" s="5">
        <v>0.1</v>
      </c>
      <c r="H2" s="5">
        <v>0.1</v>
      </c>
      <c r="I2" s="5">
        <v>0.05</v>
      </c>
      <c r="J2" s="5">
        <v>0.05</v>
      </c>
      <c r="K2" s="5">
        <v>0.25</v>
      </c>
      <c r="L2" s="5">
        <v>0.55000000000000004</v>
      </c>
      <c r="M2" s="5">
        <v>0.45</v>
      </c>
      <c r="N2" s="10">
        <f>F2+K2+M2</f>
        <v>1</v>
      </c>
    </row>
    <row r="3" spans="1:14" ht="15.6" x14ac:dyDescent="0.3">
      <c r="A3" s="7">
        <v>1</v>
      </c>
      <c r="B3" s="9">
        <v>12506204</v>
      </c>
      <c r="C3" s="7" t="s">
        <v>11</v>
      </c>
      <c r="D3" s="7">
        <v>6</v>
      </c>
      <c r="E3" s="7">
        <v>3.5</v>
      </c>
      <c r="F3" s="7">
        <v>20.5</v>
      </c>
      <c r="G3" s="16"/>
      <c r="H3" s="7">
        <v>5</v>
      </c>
      <c r="I3" s="7">
        <f>MAX(D3,H3)/2</f>
        <v>3</v>
      </c>
      <c r="J3" s="7">
        <v>4.5</v>
      </c>
      <c r="K3" s="7">
        <f>SUM(E3,G3,I3,J3)</f>
        <v>11</v>
      </c>
      <c r="L3" s="7">
        <f>SUM(F3,K3)</f>
        <v>31.5</v>
      </c>
      <c r="M3" s="7"/>
      <c r="N3" s="7">
        <f>L3+M3</f>
        <v>31.5</v>
      </c>
    </row>
    <row r="4" spans="1:14" ht="15.6" x14ac:dyDescent="0.3">
      <c r="A4" s="3">
        <v>2</v>
      </c>
      <c r="B4" s="2">
        <v>12400401</v>
      </c>
      <c r="C4" s="3" t="s">
        <v>12</v>
      </c>
      <c r="D4" s="3">
        <v>5</v>
      </c>
      <c r="E4" s="18">
        <v>1</v>
      </c>
      <c r="F4" s="3">
        <v>11.5</v>
      </c>
      <c r="G4" s="3">
        <v>4</v>
      </c>
      <c r="H4" s="3">
        <v>5</v>
      </c>
      <c r="I4" s="7">
        <f t="shared" ref="I4:I22" si="0">MAX(D4,H4)/2</f>
        <v>2.5</v>
      </c>
      <c r="J4" s="7">
        <v>3</v>
      </c>
      <c r="K4" s="7">
        <f t="shared" ref="K4:K22" si="1">SUM(E4,G4,I4,J4)</f>
        <v>10.5</v>
      </c>
      <c r="L4" s="7">
        <f t="shared" ref="L4:L22" si="2">SUM(F4,K4)</f>
        <v>22</v>
      </c>
      <c r="M4" s="3"/>
      <c r="N4" s="7">
        <f t="shared" ref="N4:N22" si="3">L4+M4</f>
        <v>22</v>
      </c>
    </row>
    <row r="5" spans="1:14" ht="15.6" x14ac:dyDescent="0.3">
      <c r="A5" s="3">
        <v>3</v>
      </c>
      <c r="B5" s="2">
        <v>12543551</v>
      </c>
      <c r="C5" s="3" t="s">
        <v>13</v>
      </c>
      <c r="D5" s="3">
        <v>4</v>
      </c>
      <c r="E5" s="3">
        <v>1</v>
      </c>
      <c r="F5" s="3">
        <v>6</v>
      </c>
      <c r="G5" s="3">
        <v>6</v>
      </c>
      <c r="H5" s="6"/>
      <c r="I5" s="7">
        <f t="shared" si="0"/>
        <v>2</v>
      </c>
      <c r="J5" s="7">
        <v>3</v>
      </c>
      <c r="K5" s="7">
        <f t="shared" si="1"/>
        <v>12</v>
      </c>
      <c r="L5" s="7">
        <f t="shared" si="2"/>
        <v>18</v>
      </c>
      <c r="M5" s="3"/>
      <c r="N5" s="7">
        <f t="shared" si="3"/>
        <v>18</v>
      </c>
    </row>
    <row r="6" spans="1:14" ht="15.6" x14ac:dyDescent="0.3">
      <c r="A6" s="3">
        <v>4</v>
      </c>
      <c r="B6" s="2">
        <v>12505792</v>
      </c>
      <c r="C6" s="3" t="s">
        <v>14</v>
      </c>
      <c r="D6" s="3">
        <v>8</v>
      </c>
      <c r="E6" s="3">
        <v>3</v>
      </c>
      <c r="F6" s="3">
        <v>16.5</v>
      </c>
      <c r="G6" s="3">
        <v>7.5</v>
      </c>
      <c r="H6" s="3">
        <v>6</v>
      </c>
      <c r="I6" s="7">
        <f t="shared" si="0"/>
        <v>4</v>
      </c>
      <c r="J6" s="7">
        <v>3.5</v>
      </c>
      <c r="K6" s="7">
        <f t="shared" si="1"/>
        <v>18</v>
      </c>
      <c r="L6" s="7">
        <f t="shared" si="2"/>
        <v>34.5</v>
      </c>
      <c r="M6" s="3"/>
      <c r="N6" s="7">
        <f t="shared" si="3"/>
        <v>34.5</v>
      </c>
    </row>
    <row r="7" spans="1:14" ht="15.6" x14ac:dyDescent="0.3">
      <c r="A7" s="3">
        <v>5</v>
      </c>
      <c r="B7" s="2">
        <v>12400460</v>
      </c>
      <c r="C7" s="3" t="s">
        <v>15</v>
      </c>
      <c r="D7" s="3">
        <v>7</v>
      </c>
      <c r="E7" s="3">
        <v>5</v>
      </c>
      <c r="F7" s="3">
        <v>17.5</v>
      </c>
      <c r="G7" s="3">
        <v>9.5</v>
      </c>
      <c r="H7" s="6"/>
      <c r="I7" s="7">
        <f t="shared" si="0"/>
        <v>3.5</v>
      </c>
      <c r="J7" s="7">
        <v>4.5</v>
      </c>
      <c r="K7" s="7">
        <f t="shared" si="1"/>
        <v>22.5</v>
      </c>
      <c r="L7" s="7">
        <f t="shared" si="2"/>
        <v>40</v>
      </c>
      <c r="M7" s="3"/>
      <c r="N7" s="7">
        <f t="shared" si="3"/>
        <v>40</v>
      </c>
    </row>
    <row r="8" spans="1:14" ht="15.6" x14ac:dyDescent="0.3">
      <c r="A8" s="3">
        <v>6</v>
      </c>
      <c r="B8" s="2">
        <v>12502079</v>
      </c>
      <c r="C8" s="3" t="s">
        <v>16</v>
      </c>
      <c r="D8" s="3">
        <v>10</v>
      </c>
      <c r="E8" s="3">
        <v>5</v>
      </c>
      <c r="F8" s="3">
        <v>30</v>
      </c>
      <c r="G8" s="3">
        <v>9</v>
      </c>
      <c r="H8" s="3">
        <v>5</v>
      </c>
      <c r="I8" s="7">
        <f t="shared" si="0"/>
        <v>5</v>
      </c>
      <c r="J8" s="7">
        <v>5</v>
      </c>
      <c r="K8" s="7">
        <f t="shared" si="1"/>
        <v>24</v>
      </c>
      <c r="L8" s="7">
        <f t="shared" si="2"/>
        <v>54</v>
      </c>
      <c r="M8" s="3"/>
      <c r="N8" s="7">
        <f t="shared" si="3"/>
        <v>54</v>
      </c>
    </row>
    <row r="9" spans="1:14" ht="15.6" x14ac:dyDescent="0.3">
      <c r="A9" s="3">
        <v>7</v>
      </c>
      <c r="B9" s="2">
        <v>12442385</v>
      </c>
      <c r="C9" s="3" t="s">
        <v>17</v>
      </c>
      <c r="D9" s="3">
        <v>4</v>
      </c>
      <c r="E9" s="18">
        <v>1</v>
      </c>
      <c r="F9" s="6"/>
      <c r="G9" s="3">
        <v>3.5</v>
      </c>
      <c r="H9" s="3">
        <v>4</v>
      </c>
      <c r="I9" s="7">
        <f t="shared" si="0"/>
        <v>2</v>
      </c>
      <c r="J9" s="7">
        <v>3</v>
      </c>
      <c r="K9" s="7">
        <f t="shared" si="1"/>
        <v>9.5</v>
      </c>
      <c r="L9" s="7">
        <f t="shared" si="2"/>
        <v>9.5</v>
      </c>
      <c r="M9" s="3"/>
      <c r="N9" s="7">
        <f t="shared" si="3"/>
        <v>9.5</v>
      </c>
    </row>
    <row r="10" spans="1:14" ht="15.6" x14ac:dyDescent="0.3">
      <c r="A10" s="3">
        <v>8</v>
      </c>
      <c r="B10" s="2">
        <v>12400464</v>
      </c>
      <c r="C10" s="3" t="s">
        <v>18</v>
      </c>
      <c r="D10" s="3">
        <v>6.5</v>
      </c>
      <c r="E10" s="3">
        <v>4</v>
      </c>
      <c r="F10" s="6"/>
      <c r="G10" s="18">
        <v>2</v>
      </c>
      <c r="H10" s="3">
        <v>5</v>
      </c>
      <c r="I10" s="7">
        <f t="shared" si="0"/>
        <v>3.25</v>
      </c>
      <c r="J10" s="7">
        <v>2</v>
      </c>
      <c r="K10" s="7">
        <f t="shared" si="1"/>
        <v>11.25</v>
      </c>
      <c r="L10" s="7">
        <f t="shared" si="2"/>
        <v>11.25</v>
      </c>
      <c r="M10" s="3"/>
      <c r="N10" s="7">
        <f t="shared" si="3"/>
        <v>11.25</v>
      </c>
    </row>
    <row r="11" spans="1:14" ht="15.6" x14ac:dyDescent="0.3">
      <c r="A11" s="3">
        <v>9</v>
      </c>
      <c r="B11" s="2">
        <v>12401201</v>
      </c>
      <c r="C11" s="3" t="s">
        <v>19</v>
      </c>
      <c r="D11" s="3">
        <v>10</v>
      </c>
      <c r="E11" s="6"/>
      <c r="F11" s="3">
        <v>22.5</v>
      </c>
      <c r="G11" s="6"/>
      <c r="H11" s="3">
        <v>10</v>
      </c>
      <c r="I11" s="7">
        <f t="shared" si="0"/>
        <v>5</v>
      </c>
      <c r="J11" s="7">
        <v>3</v>
      </c>
      <c r="K11" s="7">
        <f t="shared" si="1"/>
        <v>8</v>
      </c>
      <c r="L11" s="7">
        <f t="shared" si="2"/>
        <v>30.5</v>
      </c>
      <c r="M11" s="3"/>
      <c r="N11" s="7">
        <f t="shared" si="3"/>
        <v>30.5</v>
      </c>
    </row>
    <row r="12" spans="1:14" ht="15.6" x14ac:dyDescent="0.3">
      <c r="A12" s="3">
        <v>10</v>
      </c>
      <c r="B12" s="2">
        <v>12442099</v>
      </c>
      <c r="C12" s="3" t="s">
        <v>20</v>
      </c>
      <c r="D12" s="3">
        <v>9</v>
      </c>
      <c r="E12" s="18">
        <v>1</v>
      </c>
      <c r="F12" s="3">
        <v>17.5</v>
      </c>
      <c r="G12" s="3">
        <v>8.5</v>
      </c>
      <c r="H12" s="3">
        <v>6</v>
      </c>
      <c r="I12" s="7">
        <f t="shared" si="0"/>
        <v>4.5</v>
      </c>
      <c r="J12" s="7">
        <v>2</v>
      </c>
      <c r="K12" s="7">
        <f t="shared" si="1"/>
        <v>16</v>
      </c>
      <c r="L12" s="7">
        <f t="shared" si="2"/>
        <v>33.5</v>
      </c>
      <c r="M12" s="3"/>
      <c r="N12" s="7">
        <f t="shared" si="3"/>
        <v>33.5</v>
      </c>
    </row>
    <row r="13" spans="1:14" ht="15.6" x14ac:dyDescent="0.3">
      <c r="A13" s="3">
        <v>11</v>
      </c>
      <c r="B13" s="2">
        <v>12327110</v>
      </c>
      <c r="C13" s="3" t="s">
        <v>21</v>
      </c>
      <c r="D13" s="6"/>
      <c r="E13" s="18">
        <v>1</v>
      </c>
      <c r="F13" s="6"/>
      <c r="G13" s="6"/>
      <c r="H13" s="6"/>
      <c r="I13" s="16">
        <f t="shared" si="0"/>
        <v>0</v>
      </c>
      <c r="J13" s="17">
        <v>3</v>
      </c>
      <c r="K13" s="7">
        <f t="shared" si="1"/>
        <v>4</v>
      </c>
      <c r="L13" s="7">
        <f t="shared" si="2"/>
        <v>4</v>
      </c>
      <c r="M13" s="3"/>
      <c r="N13" s="7">
        <f t="shared" si="3"/>
        <v>4</v>
      </c>
    </row>
    <row r="14" spans="1:14" ht="15.6" x14ac:dyDescent="0.3">
      <c r="A14" s="3">
        <v>12</v>
      </c>
      <c r="B14" s="2">
        <v>12504652</v>
      </c>
      <c r="C14" s="3" t="s">
        <v>22</v>
      </c>
      <c r="D14" s="3">
        <v>7</v>
      </c>
      <c r="E14" s="3">
        <v>2</v>
      </c>
      <c r="F14" s="3">
        <v>17.5</v>
      </c>
      <c r="G14" s="18">
        <v>2</v>
      </c>
      <c r="H14" s="3">
        <v>4</v>
      </c>
      <c r="I14" s="7">
        <f t="shared" si="0"/>
        <v>3.5</v>
      </c>
      <c r="J14" s="7">
        <v>4</v>
      </c>
      <c r="K14" s="7">
        <f t="shared" si="1"/>
        <v>11.5</v>
      </c>
      <c r="L14" s="7">
        <f t="shared" si="2"/>
        <v>29</v>
      </c>
      <c r="M14" s="3"/>
      <c r="N14" s="7">
        <f t="shared" si="3"/>
        <v>29</v>
      </c>
    </row>
    <row r="15" spans="1:14" ht="15.6" x14ac:dyDescent="0.3">
      <c r="A15" s="3">
        <v>13</v>
      </c>
      <c r="B15" s="2">
        <v>12543541</v>
      </c>
      <c r="C15" s="3" t="s">
        <v>23</v>
      </c>
      <c r="D15" s="3">
        <v>7.5</v>
      </c>
      <c r="E15" s="3">
        <v>4.5</v>
      </c>
      <c r="F15" s="3">
        <v>18.5</v>
      </c>
      <c r="G15" s="3">
        <v>8.5</v>
      </c>
      <c r="H15" s="6"/>
      <c r="I15" s="7">
        <f t="shared" si="0"/>
        <v>3.75</v>
      </c>
      <c r="J15" s="7">
        <v>4</v>
      </c>
      <c r="K15" s="7">
        <f t="shared" si="1"/>
        <v>20.75</v>
      </c>
      <c r="L15" s="7">
        <f t="shared" si="2"/>
        <v>39.25</v>
      </c>
      <c r="M15" s="3"/>
      <c r="N15" s="7">
        <f t="shared" si="3"/>
        <v>39.25</v>
      </c>
    </row>
    <row r="16" spans="1:14" ht="15.6" x14ac:dyDescent="0.3">
      <c r="A16" s="3">
        <v>14</v>
      </c>
      <c r="B16" s="2">
        <v>12504288</v>
      </c>
      <c r="C16" s="3" t="s">
        <v>24</v>
      </c>
      <c r="D16" s="3">
        <v>10</v>
      </c>
      <c r="E16" s="3">
        <v>5</v>
      </c>
      <c r="F16" s="3">
        <v>26.5</v>
      </c>
      <c r="G16" s="3">
        <v>10</v>
      </c>
      <c r="H16" s="6"/>
      <c r="I16" s="7">
        <f t="shared" si="0"/>
        <v>5</v>
      </c>
      <c r="J16" s="7">
        <v>4.5</v>
      </c>
      <c r="K16" s="7">
        <f t="shared" si="1"/>
        <v>24.5</v>
      </c>
      <c r="L16" s="7">
        <f t="shared" si="2"/>
        <v>51</v>
      </c>
      <c r="M16" s="3"/>
      <c r="N16" s="7">
        <f t="shared" si="3"/>
        <v>51</v>
      </c>
    </row>
    <row r="17" spans="1:14" ht="15.6" x14ac:dyDescent="0.3">
      <c r="A17" s="3">
        <v>15</v>
      </c>
      <c r="B17" s="2">
        <v>12543038</v>
      </c>
      <c r="C17" s="3" t="s">
        <v>25</v>
      </c>
      <c r="D17" s="3">
        <v>6</v>
      </c>
      <c r="E17" s="3">
        <v>4.5</v>
      </c>
      <c r="F17" s="3">
        <v>24</v>
      </c>
      <c r="G17" s="3">
        <v>4</v>
      </c>
      <c r="H17" s="3">
        <v>7</v>
      </c>
      <c r="I17" s="7">
        <f t="shared" si="0"/>
        <v>3.5</v>
      </c>
      <c r="J17" s="7">
        <v>4.5</v>
      </c>
      <c r="K17" s="7">
        <f t="shared" si="1"/>
        <v>16.5</v>
      </c>
      <c r="L17" s="7">
        <f t="shared" si="2"/>
        <v>40.5</v>
      </c>
      <c r="M17" s="3"/>
      <c r="N17" s="7">
        <f t="shared" si="3"/>
        <v>40.5</v>
      </c>
    </row>
    <row r="18" spans="1:14" ht="15.6" x14ac:dyDescent="0.3">
      <c r="A18" s="3">
        <v>16</v>
      </c>
      <c r="B18" s="2">
        <v>12442316</v>
      </c>
      <c r="C18" s="3" t="s">
        <v>26</v>
      </c>
      <c r="D18" s="3">
        <v>6.5</v>
      </c>
      <c r="E18" s="3">
        <v>3.5</v>
      </c>
      <c r="F18" s="3">
        <v>12.5</v>
      </c>
      <c r="G18" s="3">
        <v>7</v>
      </c>
      <c r="H18" s="3">
        <v>3</v>
      </c>
      <c r="I18" s="7">
        <f t="shared" si="0"/>
        <v>3.25</v>
      </c>
      <c r="J18" s="7">
        <v>4</v>
      </c>
      <c r="K18" s="7">
        <f t="shared" si="1"/>
        <v>17.75</v>
      </c>
      <c r="L18" s="7">
        <f t="shared" si="2"/>
        <v>30.25</v>
      </c>
      <c r="M18" s="3"/>
      <c r="N18" s="7">
        <f t="shared" si="3"/>
        <v>30.25</v>
      </c>
    </row>
    <row r="19" spans="1:14" ht="15.6" x14ac:dyDescent="0.3">
      <c r="A19" s="3">
        <v>17</v>
      </c>
      <c r="B19" s="2">
        <v>12428281</v>
      </c>
      <c r="C19" s="3" t="s">
        <v>27</v>
      </c>
      <c r="D19" s="3">
        <v>10</v>
      </c>
      <c r="E19" s="3">
        <v>5</v>
      </c>
      <c r="F19" s="3">
        <v>26.5</v>
      </c>
      <c r="G19" s="3">
        <v>9</v>
      </c>
      <c r="H19" s="3">
        <v>6</v>
      </c>
      <c r="I19" s="7">
        <f t="shared" si="0"/>
        <v>5</v>
      </c>
      <c r="J19" s="7">
        <v>4.5</v>
      </c>
      <c r="K19" s="7">
        <f t="shared" si="1"/>
        <v>23.5</v>
      </c>
      <c r="L19" s="7">
        <f t="shared" si="2"/>
        <v>50</v>
      </c>
      <c r="M19" s="3"/>
      <c r="N19" s="7">
        <f t="shared" si="3"/>
        <v>50</v>
      </c>
    </row>
    <row r="20" spans="1:14" ht="15.6" x14ac:dyDescent="0.3">
      <c r="A20" s="3">
        <v>18</v>
      </c>
      <c r="B20" s="2">
        <v>12504327</v>
      </c>
      <c r="C20" s="3" t="s">
        <v>28</v>
      </c>
      <c r="D20" s="3">
        <v>5</v>
      </c>
      <c r="E20" s="3">
        <v>4</v>
      </c>
      <c r="F20" s="3">
        <v>19.5</v>
      </c>
      <c r="G20" s="3">
        <v>8.5</v>
      </c>
      <c r="H20" s="3">
        <v>7</v>
      </c>
      <c r="I20" s="7">
        <f t="shared" si="0"/>
        <v>3.5</v>
      </c>
      <c r="J20" s="7">
        <v>4</v>
      </c>
      <c r="K20" s="7">
        <f t="shared" si="1"/>
        <v>20</v>
      </c>
      <c r="L20" s="7">
        <f t="shared" si="2"/>
        <v>39.5</v>
      </c>
      <c r="M20" s="3"/>
      <c r="N20" s="7">
        <f t="shared" si="3"/>
        <v>39.5</v>
      </c>
    </row>
    <row r="21" spans="1:14" ht="15.6" x14ac:dyDescent="0.3">
      <c r="A21" s="3">
        <v>19</v>
      </c>
      <c r="B21" s="2">
        <v>12502687</v>
      </c>
      <c r="C21" s="3" t="s">
        <v>29</v>
      </c>
      <c r="D21" s="3">
        <v>4</v>
      </c>
      <c r="E21" s="6"/>
      <c r="F21" s="3">
        <v>6</v>
      </c>
      <c r="G21" s="6"/>
      <c r="H21" s="6"/>
      <c r="I21" s="7">
        <f t="shared" si="0"/>
        <v>2</v>
      </c>
      <c r="J21" s="7">
        <v>2</v>
      </c>
      <c r="K21" s="7">
        <f t="shared" si="1"/>
        <v>4</v>
      </c>
      <c r="L21" s="7">
        <f t="shared" si="2"/>
        <v>10</v>
      </c>
      <c r="M21" s="3"/>
      <c r="N21" s="7">
        <f t="shared" si="3"/>
        <v>10</v>
      </c>
    </row>
    <row r="22" spans="1:14" ht="15.6" x14ac:dyDescent="0.3">
      <c r="A22" s="3">
        <v>20</v>
      </c>
      <c r="B22" s="2">
        <v>12504984</v>
      </c>
      <c r="C22" s="3" t="s">
        <v>30</v>
      </c>
      <c r="D22" s="3">
        <v>6</v>
      </c>
      <c r="E22" s="3">
        <v>4</v>
      </c>
      <c r="F22" s="3">
        <v>10</v>
      </c>
      <c r="G22" s="3">
        <v>6</v>
      </c>
      <c r="H22" s="6"/>
      <c r="I22" s="7">
        <f t="shared" si="0"/>
        <v>3</v>
      </c>
      <c r="J22" s="7">
        <v>3</v>
      </c>
      <c r="K22" s="7">
        <f t="shared" si="1"/>
        <v>16</v>
      </c>
      <c r="L22" s="7">
        <f t="shared" si="2"/>
        <v>26</v>
      </c>
      <c r="M22" s="3"/>
      <c r="N22" s="7">
        <f t="shared" si="3"/>
        <v>26</v>
      </c>
    </row>
    <row r="24" spans="1:14" x14ac:dyDescent="0.3">
      <c r="C24" s="1" t="s">
        <v>32</v>
      </c>
      <c r="D24" s="1">
        <f>ROUND(AVERAGE(D3:D22), 2)</f>
        <v>6.92</v>
      </c>
      <c r="E24" s="1">
        <f t="shared" ref="E24:N24" si="4">ROUND(AVERAGE(E3:E22), 2)</f>
        <v>3.22</v>
      </c>
      <c r="F24" s="1">
        <f t="shared" si="4"/>
        <v>17.82</v>
      </c>
      <c r="G24" s="1">
        <f t="shared" si="4"/>
        <v>6.56</v>
      </c>
      <c r="H24" s="1">
        <f t="shared" si="4"/>
        <v>5.62</v>
      </c>
      <c r="I24" s="1">
        <f t="shared" si="4"/>
        <v>3.36</v>
      </c>
      <c r="J24" s="1">
        <f t="shared" si="4"/>
        <v>3.55</v>
      </c>
      <c r="K24" s="1">
        <f t="shared" si="4"/>
        <v>15.06</v>
      </c>
      <c r="L24" s="1">
        <f t="shared" si="4"/>
        <v>30.21</v>
      </c>
      <c r="M24" s="1" t="e">
        <f t="shared" si="4"/>
        <v>#DIV/0!</v>
      </c>
      <c r="N24" s="1">
        <f t="shared" si="4"/>
        <v>30.21</v>
      </c>
    </row>
    <row r="25" spans="1:14" x14ac:dyDescent="0.3">
      <c r="D25" s="1">
        <f>D24/10</f>
        <v>0.69199999999999995</v>
      </c>
      <c r="E25" s="1">
        <f>E24/5</f>
        <v>0.64400000000000002</v>
      </c>
      <c r="F25" s="1">
        <f>F24/30</f>
        <v>0.59399999999999997</v>
      </c>
      <c r="G25" s="1">
        <f>G24/10</f>
        <v>0.65599999999999992</v>
      </c>
      <c r="H25" s="1">
        <f>H24/10</f>
        <v>0.56200000000000006</v>
      </c>
      <c r="I25" s="1">
        <f>I24/5</f>
        <v>0.67199999999999993</v>
      </c>
      <c r="J25" s="1">
        <f>J24/5</f>
        <v>0.71</v>
      </c>
      <c r="K25" s="1">
        <f>K24/25</f>
        <v>0.60240000000000005</v>
      </c>
      <c r="L25" s="1">
        <f>L24/55</f>
        <v>0.54927272727272725</v>
      </c>
      <c r="M25" s="1" t="e">
        <f>M24/45</f>
        <v>#DIV/0!</v>
      </c>
      <c r="N25" s="1">
        <f>N24/100</f>
        <v>0.30210000000000004</v>
      </c>
    </row>
    <row r="26" spans="1:14" x14ac:dyDescent="0.3">
      <c r="H26" s="1" t="s">
        <v>31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Iyad</dc:creator>
  <cp:lastModifiedBy>إياد ولويل</cp:lastModifiedBy>
  <dcterms:created xsi:type="dcterms:W3CDTF">2015-06-05T18:17:20Z</dcterms:created>
  <dcterms:modified xsi:type="dcterms:W3CDTF">2026-08-05T19:18:12Z</dcterms:modified>
</cp:coreProperties>
</file>