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An-Najah\Summer_2025_2026\Discrete Mathematics\Exams\"/>
    </mc:Choice>
  </mc:AlternateContent>
  <xr:revisionPtr revIDLastSave="0" documentId="13_ncr:1_{04D77F6A-F819-4594-8F90-C5BEC8AD1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3" i="1"/>
  <c r="H29" i="1" a="1"/>
  <c r="H29" i="1"/>
  <c r="H30" i="1" a="1"/>
  <c r="H30" i="1"/>
  <c r="H31" i="1" a="1"/>
  <c r="H31" i="1" s="1"/>
  <c r="H32" i="1" a="1"/>
  <c r="H32" i="1"/>
  <c r="H33" i="1" a="1"/>
  <c r="H33" i="1"/>
  <c r="H34" i="1" a="1"/>
  <c r="H34" i="1" s="1"/>
  <c r="H35" i="1" a="1"/>
  <c r="H35" i="1"/>
  <c r="H36" i="1" a="1"/>
  <c r="H36" i="1"/>
  <c r="H37" i="1" a="1"/>
  <c r="H37" i="1"/>
  <c r="H38" i="1" a="1"/>
  <c r="H38" i="1"/>
  <c r="H39" i="1" a="1"/>
  <c r="H39" i="1" s="1"/>
  <c r="H40" i="1" a="1"/>
  <c r="H40" i="1" s="1"/>
  <c r="H41" i="1" a="1"/>
  <c r="H41" i="1" s="1"/>
  <c r="H42" i="1" a="1"/>
  <c r="H42" i="1"/>
  <c r="H43" i="1" a="1"/>
  <c r="H43" i="1"/>
  <c r="H44" i="1" a="1"/>
  <c r="H44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 s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 s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3" i="1" a="1"/>
  <c r="H3" i="1" s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<sst xmlns="http://schemas.openxmlformats.org/spreadsheetml/2006/main" count="59" uniqueCount="56">
  <si>
    <t>#</t>
  </si>
  <si>
    <t>ID</t>
  </si>
  <si>
    <t>Name</t>
  </si>
  <si>
    <t>Quiz 1</t>
  </si>
  <si>
    <t>Quiz 2</t>
  </si>
  <si>
    <t>Midterm</t>
  </si>
  <si>
    <t>Quiz 3</t>
  </si>
  <si>
    <t>Best Quizzes</t>
  </si>
  <si>
    <t>Participation</t>
  </si>
  <si>
    <t>Final</t>
  </si>
  <si>
    <t>Total</t>
  </si>
  <si>
    <t>أسيد لؤي اسعد خطاطبه</t>
  </si>
  <si>
    <t>احمد حسن نبيل رمضان</t>
  </si>
  <si>
    <t>ادم محمد فتحي فطاير</t>
  </si>
  <si>
    <t>اسامه سفيان جمعه اجديعات</t>
  </si>
  <si>
    <t>اسلام ناصر فايز دراغمه</t>
  </si>
  <si>
    <t>اسلام نزار عايد صعابنه</t>
  </si>
  <si>
    <t>جابر صبحي عبد حميدان</t>
  </si>
  <si>
    <t>جمانه بركات عدنان صلاحات</t>
  </si>
  <si>
    <t>جنى احسان عبد القادر اسماعيل</t>
  </si>
  <si>
    <t>حسام أحمد عفيف خفش</t>
  </si>
  <si>
    <t>خالد أيمن جودت رباع</t>
  </si>
  <si>
    <t>سمير فراس سمير الغول</t>
  </si>
  <si>
    <t>سيف الدين مازن نافذ دويكات</t>
  </si>
  <si>
    <t>علي جلال محمد حطاب</t>
  </si>
  <si>
    <t>عمرو بشار برهان عامودي</t>
  </si>
  <si>
    <t>عمرو سامر اسليم عوده</t>
  </si>
  <si>
    <t>فؤاد خالد محمد بشارات</t>
  </si>
  <si>
    <t>كريم علاء مصطفى صالح</t>
  </si>
  <si>
    <t>مؤمن أحمد عودة عواد</t>
  </si>
  <si>
    <t>مايا يوسف احسان حسين</t>
  </si>
  <si>
    <t>محمد طلال محمد بشارات</t>
  </si>
  <si>
    <t>محمد معتصم راتب اسمر</t>
  </si>
  <si>
    <t>معتز زياد حسني صلاحات</t>
  </si>
  <si>
    <t>هادي محمد توفيق بني عوده</t>
  </si>
  <si>
    <t>يزن عبدالله محمود قداره</t>
  </si>
  <si>
    <t>الاء رامي حمد حمد</t>
  </si>
  <si>
    <t>باسل فواز أحمد حمد</t>
  </si>
  <si>
    <t>تقى مصطفى سعيد رمضان</t>
  </si>
  <si>
    <t>دانه منهل حسن ابو صالح</t>
  </si>
  <si>
    <t>رهف وائل عبد الرؤوف داود</t>
  </si>
  <si>
    <t>سندس علي محمود ابو عمر</t>
  </si>
  <si>
    <t>شهد فراس حافظ صلاحات</t>
  </si>
  <si>
    <t>عبد الله حسين علي زايد</t>
  </si>
  <si>
    <t>ليان بشير عبد الكريم سلامة</t>
  </si>
  <si>
    <t>محمد رضوان محمد جودة</t>
  </si>
  <si>
    <t>محمد كميل عبد المجيد عقل</t>
  </si>
  <si>
    <t>نمر رائد أحمد العريدي</t>
  </si>
  <si>
    <t>نور الدين هيثم عباس دغلس</t>
  </si>
  <si>
    <t>نوران عبد السلام محمد خلف</t>
  </si>
  <si>
    <t>وليد ابراهيم عبد اللطيف ابو لبده</t>
  </si>
  <si>
    <t>وهيبه عوني حسين يحيى</t>
  </si>
  <si>
    <t>Total Activities</t>
  </si>
  <si>
    <t xml:space="preserve"> </t>
  </si>
  <si>
    <t>Total Pre-Final</t>
  </si>
  <si>
    <t>Best Quizzes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</si>
</sst>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9" fontId="21" fillId="0" borderId="18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9" fontId="21" fillId="0" borderId="17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wrapText="1"/>
    </xf>
    <xf numFmtId="0" fontId="19" fillId="0" borderId="17" xfId="0" applyFont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9" fillId="35" borderId="17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wrapText="1"/>
    </xf>
    <xf numFmtId="0" fontId="19" fillId="0" borderId="26" xfId="0" applyFont="1" applyBorder="1" applyAlignment="1">
      <alignment horizontal="center" vertical="center"/>
    </xf>
    <xf numFmtId="0" fontId="19" fillId="35" borderId="26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33" borderId="28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workbookViewId="0">
      <selection activeCell="P8" sqref="P8"/>
    </sheetView>
  </sheetViews>
  <sheetFormatPr defaultRowHeight="15.6" x14ac:dyDescent="0.3"/>
  <cols>
    <col min="1" max="1" width="5.109375" style="1" customWidth="1"/>
    <col min="2" max="2" width="9.88671875" style="1" bestFit="1" customWidth="1"/>
    <col min="3" max="3" width="26.33203125" style="1" customWidth="1"/>
    <col min="4" max="5" width="8.33203125" style="1" customWidth="1"/>
    <col min="6" max="6" width="9.44140625" style="1" customWidth="1"/>
    <col min="7" max="7" width="8.88671875" style="1"/>
    <col min="8" max="8" width="14.109375" style="1" customWidth="1"/>
    <col min="9" max="9" width="23.44140625" style="1" customWidth="1"/>
    <col min="10" max="10" width="13.21875" style="1" customWidth="1"/>
    <col min="11" max="12" width="16.5546875" style="1" customWidth="1"/>
    <col min="13" max="13" width="8.88671875" style="1"/>
    <col min="14" max="14" width="9.77734375" style="1" bestFit="1" customWidth="1"/>
    <col min="15" max="16384" width="8.88671875" style="1"/>
  </cols>
  <sheetData>
    <row r="1" spans="1:17" x14ac:dyDescent="0.3">
      <c r="A1" s="22" t="s">
        <v>0</v>
      </c>
      <c r="B1" s="20" t="s">
        <v>1</v>
      </c>
      <c r="C1" s="2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55</v>
      </c>
      <c r="J1" s="3" t="s">
        <v>8</v>
      </c>
      <c r="K1" s="3" t="s">
        <v>52</v>
      </c>
      <c r="L1" s="3" t="s">
        <v>54</v>
      </c>
      <c r="M1" s="3" t="s">
        <v>9</v>
      </c>
      <c r="N1" s="8" t="s">
        <v>10</v>
      </c>
    </row>
    <row r="2" spans="1:17" ht="16.2" thickBot="1" x14ac:dyDescent="0.35">
      <c r="A2" s="23"/>
      <c r="B2" s="21"/>
      <c r="C2" s="21"/>
      <c r="D2" s="11">
        <v>0.15</v>
      </c>
      <c r="E2" s="11">
        <v>0.15</v>
      </c>
      <c r="F2" s="11">
        <v>0.3</v>
      </c>
      <c r="G2" s="11">
        <v>0.15</v>
      </c>
      <c r="H2" s="11">
        <v>0.15</v>
      </c>
      <c r="I2" s="11">
        <v>0.15</v>
      </c>
      <c r="J2" s="11">
        <v>0.05</v>
      </c>
      <c r="K2" s="11">
        <v>0.2</v>
      </c>
      <c r="L2" s="11">
        <v>0.5</v>
      </c>
      <c r="M2" s="11">
        <v>0.5</v>
      </c>
      <c r="N2" s="6">
        <f>F2+K2+M2</f>
        <v>1</v>
      </c>
    </row>
    <row r="3" spans="1:17" x14ac:dyDescent="0.3">
      <c r="A3" s="27">
        <v>1</v>
      </c>
      <c r="B3" s="28">
        <v>12502900</v>
      </c>
      <c r="C3" s="28" t="s">
        <v>11</v>
      </c>
      <c r="D3" s="29">
        <v>3</v>
      </c>
      <c r="E3" s="29">
        <v>1</v>
      </c>
      <c r="F3" s="30"/>
      <c r="G3" s="29">
        <v>3</v>
      </c>
      <c r="H3" s="29" cm="1">
        <f t="array" ref="H3">AVERAGE(LARGE(CHOOSE({1,2,3},D3,E3,G3),{1,2}))</f>
        <v>3</v>
      </c>
      <c r="I3" s="29">
        <v>3</v>
      </c>
      <c r="J3" s="29">
        <v>2</v>
      </c>
      <c r="K3" s="29">
        <f>I3+J3</f>
        <v>5</v>
      </c>
      <c r="L3" s="30">
        <f>SUM(F3,K3)</f>
        <v>5</v>
      </c>
      <c r="M3" s="29"/>
      <c r="N3" s="31">
        <f>L3+M3</f>
        <v>5</v>
      </c>
    </row>
    <row r="4" spans="1:17" x14ac:dyDescent="0.3">
      <c r="A4" s="13">
        <v>2</v>
      </c>
      <c r="B4" s="10">
        <v>12543603</v>
      </c>
      <c r="C4" s="10" t="s">
        <v>12</v>
      </c>
      <c r="D4" s="2">
        <v>3.5</v>
      </c>
      <c r="E4" s="2">
        <v>1.5</v>
      </c>
      <c r="F4" s="18"/>
      <c r="G4" s="18"/>
      <c r="H4" s="2" cm="1">
        <f t="array" ref="H4">AVERAGE(LARGE(CHOOSE({1,2,3},D4,E4,G4),{1,2}))</f>
        <v>2.5</v>
      </c>
      <c r="I4" s="2">
        <v>2.5</v>
      </c>
      <c r="J4" s="2">
        <v>1</v>
      </c>
      <c r="K4" s="29">
        <f t="shared" ref="K4:K44" si="0">I4+J4</f>
        <v>3.5</v>
      </c>
      <c r="L4" s="30">
        <f t="shared" ref="L4:L44" si="1">SUM(F4,K4)</f>
        <v>3.5</v>
      </c>
      <c r="M4" s="2"/>
      <c r="N4" s="31">
        <f t="shared" ref="N4:N44" si="2">L4+M4</f>
        <v>3.5</v>
      </c>
    </row>
    <row r="5" spans="1:17" x14ac:dyDescent="0.3">
      <c r="A5" s="13">
        <v>3</v>
      </c>
      <c r="B5" s="10">
        <v>12428150</v>
      </c>
      <c r="C5" s="10" t="s">
        <v>13</v>
      </c>
      <c r="D5" s="2">
        <v>13.5</v>
      </c>
      <c r="E5" s="2">
        <v>15</v>
      </c>
      <c r="F5" s="2">
        <v>30</v>
      </c>
      <c r="G5" s="2">
        <v>12</v>
      </c>
      <c r="H5" s="2" cm="1">
        <f t="array" ref="H5">AVERAGE(LARGE(CHOOSE({1,2,3},D5,E5,G5),{1,2}))</f>
        <v>14.25</v>
      </c>
      <c r="I5" s="2">
        <v>14.5</v>
      </c>
      <c r="J5" s="2">
        <v>5</v>
      </c>
      <c r="K5" s="29">
        <f t="shared" si="0"/>
        <v>19.5</v>
      </c>
      <c r="L5" s="29">
        <f t="shared" si="1"/>
        <v>49.5</v>
      </c>
      <c r="M5" s="2"/>
      <c r="N5" s="31">
        <f t="shared" si="2"/>
        <v>49.5</v>
      </c>
      <c r="P5" s="1" t="s">
        <v>53</v>
      </c>
    </row>
    <row r="6" spans="1:17" x14ac:dyDescent="0.3">
      <c r="A6" s="13">
        <v>4</v>
      </c>
      <c r="B6" s="10">
        <v>12429191</v>
      </c>
      <c r="C6" s="10" t="s">
        <v>14</v>
      </c>
      <c r="D6" s="18"/>
      <c r="E6" s="18"/>
      <c r="F6" s="2">
        <v>13</v>
      </c>
      <c r="G6" s="18"/>
      <c r="H6" s="2" cm="1">
        <f t="array" ref="H6">AVERAGE(LARGE(CHOOSE({1,2,3},D6,E6,G6),{1,2}))</f>
        <v>0</v>
      </c>
      <c r="I6" s="2">
        <v>0</v>
      </c>
      <c r="J6" s="2">
        <v>1</v>
      </c>
      <c r="K6" s="29">
        <f t="shared" si="0"/>
        <v>1</v>
      </c>
      <c r="L6" s="29">
        <f t="shared" si="1"/>
        <v>14</v>
      </c>
      <c r="M6" s="2"/>
      <c r="N6" s="31">
        <f t="shared" si="2"/>
        <v>14</v>
      </c>
    </row>
    <row r="7" spans="1:17" x14ac:dyDescent="0.3">
      <c r="A7" s="13">
        <v>5</v>
      </c>
      <c r="B7" s="10">
        <v>12543551</v>
      </c>
      <c r="C7" s="10" t="s">
        <v>15</v>
      </c>
      <c r="D7" s="2">
        <v>10.5</v>
      </c>
      <c r="E7" s="2">
        <v>9</v>
      </c>
      <c r="F7" s="2">
        <v>20</v>
      </c>
      <c r="G7" s="2">
        <v>9</v>
      </c>
      <c r="H7" s="2" cm="1">
        <f t="array" ref="H7">AVERAGE(LARGE(CHOOSE({1,2,3},D7,E7,G7),{1,2}))</f>
        <v>9.75</v>
      </c>
      <c r="I7" s="2">
        <v>10</v>
      </c>
      <c r="J7" s="2">
        <v>3</v>
      </c>
      <c r="K7" s="29">
        <f t="shared" si="0"/>
        <v>13</v>
      </c>
      <c r="L7" s="29">
        <f t="shared" si="1"/>
        <v>33</v>
      </c>
      <c r="M7" s="2"/>
      <c r="N7" s="31">
        <f t="shared" si="2"/>
        <v>33</v>
      </c>
    </row>
    <row r="8" spans="1:17" x14ac:dyDescent="0.3">
      <c r="A8" s="13">
        <v>6</v>
      </c>
      <c r="B8" s="10">
        <v>12543775</v>
      </c>
      <c r="C8" s="10" t="s">
        <v>16</v>
      </c>
      <c r="D8" s="2">
        <v>3.5</v>
      </c>
      <c r="E8" s="2">
        <v>2</v>
      </c>
      <c r="F8" s="2">
        <v>10.5</v>
      </c>
      <c r="G8" s="2">
        <v>13.5</v>
      </c>
      <c r="H8" s="2" cm="1">
        <f t="array" ref="H8">AVERAGE(LARGE(CHOOSE({1,2,3},D8,E8,G8),{1,2}))</f>
        <v>8.5</v>
      </c>
      <c r="I8" s="2">
        <v>8.5</v>
      </c>
      <c r="J8" s="2">
        <v>2</v>
      </c>
      <c r="K8" s="29">
        <f t="shared" si="0"/>
        <v>10.5</v>
      </c>
      <c r="L8" s="29">
        <f t="shared" si="1"/>
        <v>21</v>
      </c>
      <c r="M8" s="2"/>
      <c r="N8" s="31">
        <f t="shared" si="2"/>
        <v>21</v>
      </c>
    </row>
    <row r="9" spans="1:17" x14ac:dyDescent="0.3">
      <c r="A9" s="13">
        <v>7</v>
      </c>
      <c r="B9" s="10">
        <v>12326387</v>
      </c>
      <c r="C9" s="10" t="s">
        <v>17</v>
      </c>
      <c r="D9" s="2">
        <v>4.5</v>
      </c>
      <c r="E9" s="18"/>
      <c r="F9" s="18"/>
      <c r="G9" s="2">
        <v>9</v>
      </c>
      <c r="H9" s="2" cm="1">
        <f t="array" ref="H9">AVERAGE(LARGE(CHOOSE({1,2,3},D9,E9,G9),{1,2}))</f>
        <v>6.75</v>
      </c>
      <c r="I9" s="2">
        <v>7</v>
      </c>
      <c r="J9" s="2">
        <v>3</v>
      </c>
      <c r="K9" s="29">
        <f t="shared" si="0"/>
        <v>10</v>
      </c>
      <c r="L9" s="30">
        <f t="shared" si="1"/>
        <v>10</v>
      </c>
      <c r="M9" s="2"/>
      <c r="N9" s="31">
        <f t="shared" si="2"/>
        <v>10</v>
      </c>
    </row>
    <row r="10" spans="1:17" x14ac:dyDescent="0.3">
      <c r="A10" s="13">
        <v>8</v>
      </c>
      <c r="B10" s="10">
        <v>12429912</v>
      </c>
      <c r="C10" s="10" t="s">
        <v>18</v>
      </c>
      <c r="D10" s="18"/>
      <c r="E10" s="19">
        <v>1</v>
      </c>
      <c r="F10" s="2">
        <v>16</v>
      </c>
      <c r="G10" s="2">
        <v>10.5</v>
      </c>
      <c r="H10" s="2" cm="1">
        <f t="array" ref="H10">AVERAGE(LARGE(CHOOSE({1,2,3},D10,E10,G10),{1,2}))</f>
        <v>5.75</v>
      </c>
      <c r="I10" s="2">
        <v>6</v>
      </c>
      <c r="J10" s="2">
        <v>5</v>
      </c>
      <c r="K10" s="29">
        <f t="shared" si="0"/>
        <v>11</v>
      </c>
      <c r="L10" s="29">
        <f t="shared" si="1"/>
        <v>27</v>
      </c>
      <c r="M10" s="2"/>
      <c r="N10" s="31">
        <f t="shared" si="2"/>
        <v>27</v>
      </c>
    </row>
    <row r="11" spans="1:17" x14ac:dyDescent="0.3">
      <c r="A11" s="13">
        <v>9</v>
      </c>
      <c r="B11" s="10">
        <v>12504137</v>
      </c>
      <c r="C11" s="10" t="s">
        <v>19</v>
      </c>
      <c r="D11" s="2">
        <v>9.5</v>
      </c>
      <c r="E11" s="18"/>
      <c r="F11" s="18"/>
      <c r="G11" s="18"/>
      <c r="H11" s="2" cm="1">
        <f t="array" ref="H11">AVERAGE(LARGE(CHOOSE({1,2,3},D11,E11,G11),{1,2}))</f>
        <v>4.75</v>
      </c>
      <c r="I11" s="2">
        <v>5</v>
      </c>
      <c r="J11" s="2">
        <v>2</v>
      </c>
      <c r="K11" s="29">
        <f t="shared" si="0"/>
        <v>7</v>
      </c>
      <c r="L11" s="30">
        <f t="shared" si="1"/>
        <v>7</v>
      </c>
      <c r="M11" s="2"/>
      <c r="N11" s="31">
        <f t="shared" si="2"/>
        <v>7</v>
      </c>
    </row>
    <row r="12" spans="1:17" x14ac:dyDescent="0.3">
      <c r="A12" s="13">
        <v>10</v>
      </c>
      <c r="B12" s="10">
        <v>12543525</v>
      </c>
      <c r="C12" s="10" t="s">
        <v>20</v>
      </c>
      <c r="D12" s="2">
        <v>4</v>
      </c>
      <c r="E12" s="18"/>
      <c r="F12" s="2">
        <v>4</v>
      </c>
      <c r="G12" s="18"/>
      <c r="H12" s="2" cm="1">
        <f t="array" ref="H12">AVERAGE(LARGE(CHOOSE({1,2,3},D12,E12,G12),{1,2}))</f>
        <v>2</v>
      </c>
      <c r="I12" s="2">
        <v>2</v>
      </c>
      <c r="J12" s="2">
        <v>2</v>
      </c>
      <c r="K12" s="29">
        <f t="shared" si="0"/>
        <v>4</v>
      </c>
      <c r="L12" s="29">
        <f t="shared" si="1"/>
        <v>8</v>
      </c>
      <c r="M12" s="2"/>
      <c r="N12" s="31">
        <f t="shared" si="2"/>
        <v>8</v>
      </c>
    </row>
    <row r="13" spans="1:17" x14ac:dyDescent="0.3">
      <c r="A13" s="13">
        <v>11</v>
      </c>
      <c r="B13" s="10">
        <v>12323990</v>
      </c>
      <c r="C13" s="10" t="s">
        <v>21</v>
      </c>
      <c r="D13" s="2">
        <v>9.5</v>
      </c>
      <c r="E13" s="2">
        <v>10</v>
      </c>
      <c r="F13" s="2">
        <v>26</v>
      </c>
      <c r="G13" s="2">
        <v>6</v>
      </c>
      <c r="H13" s="2" cm="1">
        <f t="array" ref="H13">AVERAGE(LARGE(CHOOSE({1,2,3},D13,E13,G13),{1,2}))</f>
        <v>9.75</v>
      </c>
      <c r="I13" s="2">
        <v>10</v>
      </c>
      <c r="J13" s="2">
        <v>4</v>
      </c>
      <c r="K13" s="29">
        <f t="shared" si="0"/>
        <v>14</v>
      </c>
      <c r="L13" s="29">
        <f t="shared" si="1"/>
        <v>40</v>
      </c>
      <c r="M13" s="2"/>
      <c r="N13" s="31">
        <f t="shared" si="2"/>
        <v>40</v>
      </c>
      <c r="Q13" s="1" t="s">
        <v>53</v>
      </c>
    </row>
    <row r="14" spans="1:17" x14ac:dyDescent="0.3">
      <c r="A14" s="13">
        <v>12</v>
      </c>
      <c r="B14" s="10">
        <v>12429060</v>
      </c>
      <c r="C14" s="10" t="s">
        <v>22</v>
      </c>
      <c r="D14" s="18"/>
      <c r="E14" s="2">
        <v>1</v>
      </c>
      <c r="F14" s="2">
        <v>13.5</v>
      </c>
      <c r="G14" s="2">
        <v>4.5</v>
      </c>
      <c r="H14" s="2" cm="1">
        <f t="array" ref="H14">AVERAGE(LARGE(CHOOSE({1,2,3},D14,E14,G14),{1,2}))</f>
        <v>2.75</v>
      </c>
      <c r="I14" s="2">
        <v>3</v>
      </c>
      <c r="J14" s="2">
        <v>2</v>
      </c>
      <c r="K14" s="29">
        <f t="shared" si="0"/>
        <v>5</v>
      </c>
      <c r="L14" s="29">
        <f t="shared" si="1"/>
        <v>18.5</v>
      </c>
      <c r="M14" s="2"/>
      <c r="N14" s="31">
        <f t="shared" si="2"/>
        <v>18.5</v>
      </c>
    </row>
    <row r="15" spans="1:17" x14ac:dyDescent="0.3">
      <c r="A15" s="13">
        <v>13</v>
      </c>
      <c r="B15" s="10">
        <v>12326742</v>
      </c>
      <c r="C15" s="10" t="s">
        <v>23</v>
      </c>
      <c r="D15" s="2">
        <v>6.5</v>
      </c>
      <c r="E15" s="2">
        <v>8</v>
      </c>
      <c r="F15" s="2">
        <v>16</v>
      </c>
      <c r="G15" s="2">
        <v>9</v>
      </c>
      <c r="H15" s="2" cm="1">
        <f t="array" ref="H15">AVERAGE(LARGE(CHOOSE({1,2,3},D15,E15,G15),{1,2}))</f>
        <v>8.5</v>
      </c>
      <c r="I15" s="2">
        <v>8.5</v>
      </c>
      <c r="J15" s="2">
        <v>4</v>
      </c>
      <c r="K15" s="29">
        <f t="shared" si="0"/>
        <v>12.5</v>
      </c>
      <c r="L15" s="29">
        <f t="shared" si="1"/>
        <v>28.5</v>
      </c>
      <c r="M15" s="2"/>
      <c r="N15" s="31">
        <f t="shared" si="2"/>
        <v>28.5</v>
      </c>
    </row>
    <row r="16" spans="1:17" x14ac:dyDescent="0.3">
      <c r="A16" s="13">
        <v>14</v>
      </c>
      <c r="B16" s="10">
        <v>12427705</v>
      </c>
      <c r="C16" s="10" t="s">
        <v>24</v>
      </c>
      <c r="D16" s="18"/>
      <c r="E16" s="2">
        <v>2</v>
      </c>
      <c r="F16" s="2">
        <v>8</v>
      </c>
      <c r="G16" s="18"/>
      <c r="H16" s="2" cm="1">
        <f t="array" ref="H16">AVERAGE(LARGE(CHOOSE({1,2,3},D16,E16,G16),{1,2}))</f>
        <v>1</v>
      </c>
      <c r="I16" s="2">
        <v>1</v>
      </c>
      <c r="J16" s="2">
        <v>2</v>
      </c>
      <c r="K16" s="29">
        <f t="shared" si="0"/>
        <v>3</v>
      </c>
      <c r="L16" s="29">
        <f t="shared" si="1"/>
        <v>11</v>
      </c>
      <c r="M16" s="2"/>
      <c r="N16" s="31">
        <f t="shared" si="2"/>
        <v>11</v>
      </c>
    </row>
    <row r="17" spans="1:14" x14ac:dyDescent="0.3">
      <c r="A17" s="13">
        <v>15</v>
      </c>
      <c r="B17" s="10">
        <v>12543541</v>
      </c>
      <c r="C17" s="10" t="s">
        <v>25</v>
      </c>
      <c r="D17" s="2">
        <v>11.5</v>
      </c>
      <c r="E17" s="19">
        <v>10</v>
      </c>
      <c r="F17" s="2">
        <v>19.5</v>
      </c>
      <c r="G17" s="2">
        <v>12</v>
      </c>
      <c r="H17" s="2" cm="1">
        <f t="array" ref="H17">AVERAGE(LARGE(CHOOSE({1,2,3},D17,E17,G17),{1,2}))</f>
        <v>11.75</v>
      </c>
      <c r="I17" s="2">
        <v>12</v>
      </c>
      <c r="J17" s="2">
        <v>5</v>
      </c>
      <c r="K17" s="29">
        <f t="shared" si="0"/>
        <v>17</v>
      </c>
      <c r="L17" s="29">
        <f t="shared" si="1"/>
        <v>36.5</v>
      </c>
      <c r="M17" s="2"/>
      <c r="N17" s="31">
        <f t="shared" si="2"/>
        <v>36.5</v>
      </c>
    </row>
    <row r="18" spans="1:14" x14ac:dyDescent="0.3">
      <c r="A18" s="13">
        <v>16</v>
      </c>
      <c r="B18" s="10">
        <v>12442605</v>
      </c>
      <c r="C18" s="10" t="s">
        <v>26</v>
      </c>
      <c r="D18" s="2">
        <v>2.5</v>
      </c>
      <c r="E18" s="18"/>
      <c r="F18" s="2">
        <v>10</v>
      </c>
      <c r="G18" s="2">
        <v>1.5</v>
      </c>
      <c r="H18" s="2" cm="1">
        <f t="array" ref="H18">AVERAGE(LARGE(CHOOSE({1,2,3},D18,E18,G18),{1,2}))</f>
        <v>2</v>
      </c>
      <c r="I18" s="2">
        <v>2</v>
      </c>
      <c r="J18" s="2">
        <v>1</v>
      </c>
      <c r="K18" s="29">
        <f t="shared" si="0"/>
        <v>3</v>
      </c>
      <c r="L18" s="29">
        <f t="shared" si="1"/>
        <v>13</v>
      </c>
      <c r="M18" s="2"/>
      <c r="N18" s="31">
        <f t="shared" si="2"/>
        <v>13</v>
      </c>
    </row>
    <row r="19" spans="1:14" x14ac:dyDescent="0.3">
      <c r="A19" s="13">
        <v>17</v>
      </c>
      <c r="B19" s="10">
        <v>12218043</v>
      </c>
      <c r="C19" s="10" t="s">
        <v>27</v>
      </c>
      <c r="D19" s="2">
        <v>13</v>
      </c>
      <c r="E19" s="2">
        <v>9.5</v>
      </c>
      <c r="F19" s="18"/>
      <c r="G19" s="2">
        <v>12</v>
      </c>
      <c r="H19" s="2" cm="1">
        <f t="array" ref="H19">AVERAGE(LARGE(CHOOSE({1,2,3},D19,E19,G19),{1,2}))</f>
        <v>12.5</v>
      </c>
      <c r="I19" s="2">
        <v>12.5</v>
      </c>
      <c r="J19" s="2">
        <v>4</v>
      </c>
      <c r="K19" s="29">
        <f t="shared" si="0"/>
        <v>16.5</v>
      </c>
      <c r="L19" s="30">
        <f t="shared" si="1"/>
        <v>16.5</v>
      </c>
      <c r="M19" s="2"/>
      <c r="N19" s="31">
        <f t="shared" si="2"/>
        <v>16.5</v>
      </c>
    </row>
    <row r="20" spans="1:14" x14ac:dyDescent="0.3">
      <c r="A20" s="13">
        <v>18</v>
      </c>
      <c r="B20" s="10">
        <v>12219711</v>
      </c>
      <c r="C20" s="10" t="s">
        <v>28</v>
      </c>
      <c r="D20" s="2">
        <v>9</v>
      </c>
      <c r="E20" s="2">
        <v>1.5</v>
      </c>
      <c r="F20" s="2">
        <v>13.5</v>
      </c>
      <c r="G20" s="2">
        <v>9</v>
      </c>
      <c r="H20" s="2" cm="1">
        <f t="array" ref="H20">AVERAGE(LARGE(CHOOSE({1,2,3},D20,E20,G20),{1,2}))</f>
        <v>9</v>
      </c>
      <c r="I20" s="2">
        <v>9</v>
      </c>
      <c r="J20" s="2">
        <v>2</v>
      </c>
      <c r="K20" s="29">
        <f t="shared" si="0"/>
        <v>11</v>
      </c>
      <c r="L20" s="29">
        <f t="shared" si="1"/>
        <v>24.5</v>
      </c>
      <c r="M20" s="2"/>
      <c r="N20" s="31">
        <f t="shared" si="2"/>
        <v>24.5</v>
      </c>
    </row>
    <row r="21" spans="1:14" x14ac:dyDescent="0.3">
      <c r="A21" s="13">
        <v>19</v>
      </c>
      <c r="B21" s="10">
        <v>12113285</v>
      </c>
      <c r="C21" s="10" t="s">
        <v>29</v>
      </c>
      <c r="D21" s="2">
        <v>9</v>
      </c>
      <c r="E21" s="2">
        <v>8</v>
      </c>
      <c r="F21" s="2">
        <v>19</v>
      </c>
      <c r="G21" s="2">
        <v>0</v>
      </c>
      <c r="H21" s="2" cm="1">
        <f t="array" ref="H21">AVERAGE(LARGE(CHOOSE({1,2,3},D21,E21,G21),{1,2}))</f>
        <v>8.5</v>
      </c>
      <c r="I21" s="2">
        <v>8.5</v>
      </c>
      <c r="J21" s="2">
        <v>4</v>
      </c>
      <c r="K21" s="29">
        <f t="shared" si="0"/>
        <v>12.5</v>
      </c>
      <c r="L21" s="29">
        <f t="shared" si="1"/>
        <v>31.5</v>
      </c>
      <c r="M21" s="2"/>
      <c r="N21" s="31">
        <f t="shared" si="2"/>
        <v>31.5</v>
      </c>
    </row>
    <row r="22" spans="1:14" x14ac:dyDescent="0.3">
      <c r="A22" s="13">
        <v>20</v>
      </c>
      <c r="B22" s="10">
        <v>12400564</v>
      </c>
      <c r="C22" s="10" t="s">
        <v>30</v>
      </c>
      <c r="D22" s="18" t="s">
        <v>53</v>
      </c>
      <c r="E22" s="2">
        <v>6</v>
      </c>
      <c r="F22" s="2">
        <v>18.5</v>
      </c>
      <c r="G22" s="18"/>
      <c r="H22" s="2" cm="1">
        <f t="array" ref="H22">AVERAGE(LARGE(CHOOSE({1,2,3},D22,E22,G22),{1,2}))</f>
        <v>3</v>
      </c>
      <c r="I22" s="2">
        <v>3</v>
      </c>
      <c r="J22" s="2">
        <v>3</v>
      </c>
      <c r="K22" s="29">
        <f t="shared" si="0"/>
        <v>6</v>
      </c>
      <c r="L22" s="29">
        <f t="shared" si="1"/>
        <v>24.5</v>
      </c>
      <c r="M22" s="2"/>
      <c r="N22" s="31">
        <f t="shared" si="2"/>
        <v>24.5</v>
      </c>
    </row>
    <row r="23" spans="1:14" x14ac:dyDescent="0.3">
      <c r="A23" s="13">
        <v>21</v>
      </c>
      <c r="B23" s="10">
        <v>12442197</v>
      </c>
      <c r="C23" s="10" t="s">
        <v>31</v>
      </c>
      <c r="D23" s="2">
        <v>4</v>
      </c>
      <c r="E23" s="2">
        <v>3</v>
      </c>
      <c r="F23" s="2">
        <v>14</v>
      </c>
      <c r="G23" s="2">
        <v>6</v>
      </c>
      <c r="H23" s="2" cm="1">
        <f t="array" ref="H23">AVERAGE(LARGE(CHOOSE({1,2,3},D23,E23,G23),{1,2}))</f>
        <v>5</v>
      </c>
      <c r="I23" s="2">
        <v>5</v>
      </c>
      <c r="J23" s="2">
        <v>2</v>
      </c>
      <c r="K23" s="29">
        <f t="shared" si="0"/>
        <v>7</v>
      </c>
      <c r="L23" s="29">
        <f t="shared" si="1"/>
        <v>21</v>
      </c>
      <c r="M23" s="2"/>
      <c r="N23" s="31">
        <f t="shared" si="2"/>
        <v>21</v>
      </c>
    </row>
    <row r="24" spans="1:14" x14ac:dyDescent="0.3">
      <c r="A24" s="13">
        <v>22</v>
      </c>
      <c r="B24" s="10">
        <v>12502560</v>
      </c>
      <c r="C24" s="10" t="s">
        <v>32</v>
      </c>
      <c r="D24" s="2">
        <v>11</v>
      </c>
      <c r="E24" s="2">
        <v>14.5</v>
      </c>
      <c r="F24" s="2">
        <v>28</v>
      </c>
      <c r="G24" s="2">
        <v>12</v>
      </c>
      <c r="H24" s="2" cm="1">
        <f t="array" ref="H24">AVERAGE(LARGE(CHOOSE({1,2,3},D24,E24,G24),{1,2}))</f>
        <v>13.25</v>
      </c>
      <c r="I24" s="2">
        <v>13.5</v>
      </c>
      <c r="J24" s="2">
        <v>5</v>
      </c>
      <c r="K24" s="29">
        <f t="shared" si="0"/>
        <v>18.5</v>
      </c>
      <c r="L24" s="29">
        <f t="shared" si="1"/>
        <v>46.5</v>
      </c>
      <c r="M24" s="2"/>
      <c r="N24" s="31">
        <f t="shared" si="2"/>
        <v>46.5</v>
      </c>
    </row>
    <row r="25" spans="1:14" x14ac:dyDescent="0.3">
      <c r="A25" s="13">
        <v>23</v>
      </c>
      <c r="B25" s="10">
        <v>12504369</v>
      </c>
      <c r="C25" s="10" t="s">
        <v>33</v>
      </c>
      <c r="D25" s="2">
        <v>10</v>
      </c>
      <c r="E25" s="2">
        <v>15</v>
      </c>
      <c r="F25" s="2">
        <v>28.5</v>
      </c>
      <c r="G25" s="2">
        <v>9</v>
      </c>
      <c r="H25" s="2" cm="1">
        <f t="array" ref="H25">AVERAGE(LARGE(CHOOSE({1,2,3},D25,E25,G25),{1,2}))</f>
        <v>12.5</v>
      </c>
      <c r="I25" s="2">
        <v>12.5</v>
      </c>
      <c r="J25" s="2">
        <v>5</v>
      </c>
      <c r="K25" s="29">
        <f t="shared" si="0"/>
        <v>17.5</v>
      </c>
      <c r="L25" s="29">
        <f t="shared" si="1"/>
        <v>46</v>
      </c>
      <c r="M25" s="2"/>
      <c r="N25" s="31">
        <f t="shared" si="2"/>
        <v>46</v>
      </c>
    </row>
    <row r="26" spans="1:14" x14ac:dyDescent="0.3">
      <c r="A26" s="13">
        <v>24</v>
      </c>
      <c r="B26" s="10">
        <v>12504327</v>
      </c>
      <c r="C26" s="10" t="s">
        <v>34</v>
      </c>
      <c r="D26" s="2">
        <v>9</v>
      </c>
      <c r="E26" s="2">
        <v>9</v>
      </c>
      <c r="F26" s="2">
        <v>25</v>
      </c>
      <c r="G26" s="2">
        <v>10.5</v>
      </c>
      <c r="H26" s="2" cm="1">
        <f t="array" ref="H26">AVERAGE(LARGE(CHOOSE({1,2,3},D26,E26,G26),{1,2}))</f>
        <v>9.75</v>
      </c>
      <c r="I26" s="2">
        <v>10</v>
      </c>
      <c r="J26" s="2">
        <v>4</v>
      </c>
      <c r="K26" s="29">
        <f t="shared" si="0"/>
        <v>14</v>
      </c>
      <c r="L26" s="29">
        <f t="shared" si="1"/>
        <v>39</v>
      </c>
      <c r="M26" s="2"/>
      <c r="N26" s="31">
        <f t="shared" si="2"/>
        <v>39</v>
      </c>
    </row>
    <row r="27" spans="1:14" ht="16.2" thickBot="1" x14ac:dyDescent="0.35">
      <c r="A27" s="14">
        <v>25</v>
      </c>
      <c r="B27" s="15">
        <v>12543575</v>
      </c>
      <c r="C27" s="15" t="s">
        <v>35</v>
      </c>
      <c r="D27" s="16">
        <v>7.5</v>
      </c>
      <c r="E27" s="16">
        <v>7.5</v>
      </c>
      <c r="F27" s="16">
        <v>20.5</v>
      </c>
      <c r="G27" s="16">
        <v>10.5</v>
      </c>
      <c r="H27" s="2" cm="1">
        <f t="array" ref="H27">AVERAGE(LARGE(CHOOSE({1,2,3},D27,E27,G27),{1,2}))</f>
        <v>9</v>
      </c>
      <c r="I27" s="32">
        <v>9</v>
      </c>
      <c r="J27" s="16">
        <v>3</v>
      </c>
      <c r="K27" s="29">
        <f t="shared" si="0"/>
        <v>12</v>
      </c>
      <c r="L27" s="29">
        <f t="shared" si="1"/>
        <v>32.5</v>
      </c>
      <c r="M27" s="16"/>
      <c r="N27" s="31">
        <f t="shared" si="2"/>
        <v>32.5</v>
      </c>
    </row>
    <row r="28" spans="1:14" s="4" customFormat="1" ht="4.8" customHeight="1" thickBot="1" x14ac:dyDescent="0.35">
      <c r="A28" s="17"/>
      <c r="B28" s="17"/>
      <c r="C28" s="17"/>
      <c r="D28" s="17"/>
      <c r="E28" s="17"/>
      <c r="F28" s="17"/>
      <c r="G28" s="17"/>
      <c r="H28" s="25"/>
      <c r="I28" s="25"/>
      <c r="J28" s="17"/>
      <c r="K28" s="17"/>
      <c r="L28" s="17"/>
      <c r="M28" s="17"/>
      <c r="N28" s="33"/>
    </row>
    <row r="29" spans="1:14" ht="16.2" thickBot="1" x14ac:dyDescent="0.35">
      <c r="A29" s="5">
        <v>1</v>
      </c>
      <c r="B29" s="9">
        <v>12427907</v>
      </c>
      <c r="C29" s="9" t="s">
        <v>36</v>
      </c>
      <c r="D29" s="7">
        <v>8.5</v>
      </c>
      <c r="E29" s="7">
        <v>12</v>
      </c>
      <c r="F29" s="7">
        <v>27</v>
      </c>
      <c r="G29" s="7">
        <v>13.5</v>
      </c>
      <c r="H29" s="7" cm="1">
        <f t="array" ref="H29">AVERAGE(LARGE(CHOOSE({1,2,3},D29,E29,G29),{1,2}))</f>
        <v>12.75</v>
      </c>
      <c r="I29" s="7">
        <v>13</v>
      </c>
      <c r="J29" s="7">
        <v>5</v>
      </c>
      <c r="K29" s="7">
        <f t="shared" si="0"/>
        <v>18</v>
      </c>
      <c r="L29" s="7">
        <f t="shared" si="1"/>
        <v>45</v>
      </c>
      <c r="M29" s="7"/>
      <c r="N29" s="12">
        <f t="shared" si="2"/>
        <v>45</v>
      </c>
    </row>
    <row r="30" spans="1:14" x14ac:dyDescent="0.3">
      <c r="A30" s="5">
        <v>2</v>
      </c>
      <c r="B30" s="10">
        <v>12324431</v>
      </c>
      <c r="C30" s="10" t="s">
        <v>37</v>
      </c>
      <c r="D30" s="2">
        <v>4</v>
      </c>
      <c r="E30" s="18"/>
      <c r="F30" s="18"/>
      <c r="G30" s="2">
        <v>9</v>
      </c>
      <c r="H30" s="2" cm="1">
        <f t="array" ref="H30">AVERAGE(LARGE(CHOOSE({1,2,3},D30,E30,G30),{1,2}))</f>
        <v>6.5</v>
      </c>
      <c r="I30" s="2">
        <v>6.5</v>
      </c>
      <c r="J30" s="2">
        <v>3</v>
      </c>
      <c r="K30" s="29">
        <f t="shared" si="0"/>
        <v>9.5</v>
      </c>
      <c r="L30" s="30">
        <f t="shared" si="1"/>
        <v>9.5</v>
      </c>
      <c r="M30" s="2"/>
      <c r="N30" s="31">
        <f t="shared" si="2"/>
        <v>9.5</v>
      </c>
    </row>
    <row r="31" spans="1:14" ht="16.2" thickBot="1" x14ac:dyDescent="0.35">
      <c r="A31" s="13">
        <v>3</v>
      </c>
      <c r="B31" s="10">
        <v>12504065</v>
      </c>
      <c r="C31" s="10" t="s">
        <v>38</v>
      </c>
      <c r="D31" s="2">
        <v>10</v>
      </c>
      <c r="E31" s="2">
        <v>7</v>
      </c>
      <c r="F31" s="2">
        <v>20</v>
      </c>
      <c r="G31" s="2">
        <v>7.5</v>
      </c>
      <c r="H31" s="2" cm="1">
        <f t="array" ref="H31">AVERAGE(LARGE(CHOOSE({1,2,3},D31,E31,G31),{1,2}))</f>
        <v>8.75</v>
      </c>
      <c r="I31" s="2">
        <v>9</v>
      </c>
      <c r="J31" s="2">
        <v>5</v>
      </c>
      <c r="K31" s="29">
        <f t="shared" si="0"/>
        <v>14</v>
      </c>
      <c r="L31" s="29">
        <f t="shared" si="1"/>
        <v>34</v>
      </c>
      <c r="M31" s="2"/>
      <c r="N31" s="31">
        <f t="shared" si="2"/>
        <v>34</v>
      </c>
    </row>
    <row r="32" spans="1:14" x14ac:dyDescent="0.3">
      <c r="A32" s="5">
        <v>4</v>
      </c>
      <c r="B32" s="10">
        <v>12504079</v>
      </c>
      <c r="C32" s="10" t="s">
        <v>39</v>
      </c>
      <c r="D32" s="2">
        <v>8</v>
      </c>
      <c r="E32" s="2">
        <v>11</v>
      </c>
      <c r="F32" s="2">
        <v>28</v>
      </c>
      <c r="G32" s="2">
        <v>9</v>
      </c>
      <c r="H32" s="2" cm="1">
        <f t="array" ref="H32">AVERAGE(LARGE(CHOOSE({1,2,3},D32,E32,G32),{1,2}))</f>
        <v>10</v>
      </c>
      <c r="I32" s="2">
        <v>10</v>
      </c>
      <c r="J32" s="2">
        <v>5</v>
      </c>
      <c r="K32" s="29">
        <f t="shared" si="0"/>
        <v>15</v>
      </c>
      <c r="L32" s="29">
        <f t="shared" si="1"/>
        <v>43</v>
      </c>
      <c r="M32" s="2"/>
      <c r="N32" s="31">
        <f t="shared" si="2"/>
        <v>43</v>
      </c>
    </row>
    <row r="33" spans="1:14" ht="16.2" thickBot="1" x14ac:dyDescent="0.35">
      <c r="A33" s="13">
        <v>5</v>
      </c>
      <c r="B33" s="10">
        <v>12240162</v>
      </c>
      <c r="C33" s="10" t="s">
        <v>40</v>
      </c>
      <c r="D33" s="2">
        <v>8.5</v>
      </c>
      <c r="E33" s="2">
        <v>7</v>
      </c>
      <c r="F33" s="2">
        <v>23.5</v>
      </c>
      <c r="G33" s="2">
        <v>4.5</v>
      </c>
      <c r="H33" s="2" cm="1">
        <f t="array" ref="H33">AVERAGE(LARGE(CHOOSE({1,2,3},D33,E33,G33),{1,2}))</f>
        <v>7.75</v>
      </c>
      <c r="I33" s="2">
        <v>8</v>
      </c>
      <c r="J33" s="2">
        <v>5</v>
      </c>
      <c r="K33" s="29">
        <f t="shared" si="0"/>
        <v>13</v>
      </c>
      <c r="L33" s="29">
        <f t="shared" si="1"/>
        <v>36.5</v>
      </c>
      <c r="M33" s="2"/>
      <c r="N33" s="31">
        <f t="shared" si="2"/>
        <v>36.5</v>
      </c>
    </row>
    <row r="34" spans="1:14" x14ac:dyDescent="0.3">
      <c r="A34" s="5">
        <v>6</v>
      </c>
      <c r="B34" s="10">
        <v>12428421</v>
      </c>
      <c r="C34" s="10" t="s">
        <v>41</v>
      </c>
      <c r="D34" s="2">
        <v>9.5</v>
      </c>
      <c r="E34" s="2">
        <v>8</v>
      </c>
      <c r="F34" s="2">
        <v>27.5</v>
      </c>
      <c r="G34" s="2">
        <v>6</v>
      </c>
      <c r="H34" s="2" cm="1">
        <f t="array" ref="H34">AVERAGE(LARGE(CHOOSE({1,2,3},D34,E34,G34),{1,2}))</f>
        <v>8.75</v>
      </c>
      <c r="I34" s="2">
        <v>9</v>
      </c>
      <c r="J34" s="2">
        <v>5</v>
      </c>
      <c r="K34" s="29">
        <f t="shared" si="0"/>
        <v>14</v>
      </c>
      <c r="L34" s="29">
        <f t="shared" si="1"/>
        <v>41.5</v>
      </c>
      <c r="M34" s="2"/>
      <c r="N34" s="31">
        <f t="shared" si="2"/>
        <v>41.5</v>
      </c>
    </row>
    <row r="35" spans="1:14" ht="16.2" thickBot="1" x14ac:dyDescent="0.35">
      <c r="A35" s="13">
        <v>7</v>
      </c>
      <c r="B35" s="10">
        <v>12505838</v>
      </c>
      <c r="C35" s="10" t="s">
        <v>42</v>
      </c>
      <c r="D35" s="2">
        <v>7.5</v>
      </c>
      <c r="E35" s="2">
        <v>2.5</v>
      </c>
      <c r="F35" s="18"/>
      <c r="G35" s="2">
        <v>6</v>
      </c>
      <c r="H35" s="2" cm="1">
        <f t="array" ref="H35">AVERAGE(LARGE(CHOOSE({1,2,3},D35,E35,G35),{1,2}))</f>
        <v>6.75</v>
      </c>
      <c r="I35" s="2">
        <v>7</v>
      </c>
      <c r="J35" s="2">
        <v>3</v>
      </c>
      <c r="K35" s="29">
        <f t="shared" si="0"/>
        <v>10</v>
      </c>
      <c r="L35" s="30">
        <f t="shared" si="1"/>
        <v>10</v>
      </c>
      <c r="M35" s="2"/>
      <c r="N35" s="31">
        <f t="shared" si="2"/>
        <v>10</v>
      </c>
    </row>
    <row r="36" spans="1:14" x14ac:dyDescent="0.3">
      <c r="A36" s="5">
        <v>8</v>
      </c>
      <c r="B36" s="10">
        <v>12401573</v>
      </c>
      <c r="C36" s="10" t="s">
        <v>43</v>
      </c>
      <c r="D36" s="2">
        <v>11</v>
      </c>
      <c r="E36" s="18"/>
      <c r="F36" s="18"/>
      <c r="G36" s="18"/>
      <c r="H36" s="2" cm="1">
        <f t="array" ref="H36">AVERAGE(LARGE(CHOOSE({1,2,3},D36,E36,G36),{1,2}))</f>
        <v>5.5</v>
      </c>
      <c r="I36" s="2">
        <v>5.5</v>
      </c>
      <c r="J36" s="2">
        <v>4</v>
      </c>
      <c r="K36" s="29">
        <f t="shared" si="0"/>
        <v>9.5</v>
      </c>
      <c r="L36" s="30">
        <f t="shared" si="1"/>
        <v>9.5</v>
      </c>
      <c r="M36" s="2"/>
      <c r="N36" s="31">
        <f t="shared" si="2"/>
        <v>9.5</v>
      </c>
    </row>
    <row r="37" spans="1:14" ht="16.2" thickBot="1" x14ac:dyDescent="0.35">
      <c r="A37" s="13">
        <v>9</v>
      </c>
      <c r="B37" s="10">
        <v>12503750</v>
      </c>
      <c r="C37" s="10" t="s">
        <v>44</v>
      </c>
      <c r="D37" s="2">
        <v>13</v>
      </c>
      <c r="E37" s="2">
        <v>6.5</v>
      </c>
      <c r="F37" s="2">
        <v>26</v>
      </c>
      <c r="G37" s="2">
        <v>10.5</v>
      </c>
      <c r="H37" s="2" cm="1">
        <f t="array" ref="H37">AVERAGE(LARGE(CHOOSE({1,2,3},D37,E37,G37),{1,2}))</f>
        <v>11.75</v>
      </c>
      <c r="I37" s="2">
        <v>12</v>
      </c>
      <c r="J37" s="2">
        <v>5</v>
      </c>
      <c r="K37" s="29">
        <f t="shared" si="0"/>
        <v>17</v>
      </c>
      <c r="L37" s="29">
        <f t="shared" si="1"/>
        <v>43</v>
      </c>
      <c r="M37" s="2"/>
      <c r="N37" s="31">
        <f t="shared" si="2"/>
        <v>43</v>
      </c>
    </row>
    <row r="38" spans="1:14" x14ac:dyDescent="0.3">
      <c r="A38" s="5">
        <v>10</v>
      </c>
      <c r="B38" s="10">
        <v>12219027</v>
      </c>
      <c r="C38" s="10" t="s">
        <v>45</v>
      </c>
      <c r="D38" s="2">
        <v>1</v>
      </c>
      <c r="E38" s="2">
        <v>9.5</v>
      </c>
      <c r="F38" s="2">
        <v>7</v>
      </c>
      <c r="G38" s="2">
        <v>4.5</v>
      </c>
      <c r="H38" s="2" cm="1">
        <f t="array" ref="H38">AVERAGE(LARGE(CHOOSE({1,2,3},D38,E38,G38),{1,2}))</f>
        <v>7</v>
      </c>
      <c r="I38" s="2">
        <v>7</v>
      </c>
      <c r="J38" s="2">
        <v>1</v>
      </c>
      <c r="K38" s="29">
        <f t="shared" si="0"/>
        <v>8</v>
      </c>
      <c r="L38" s="29">
        <f t="shared" si="1"/>
        <v>15</v>
      </c>
      <c r="M38" s="2"/>
      <c r="N38" s="31">
        <f t="shared" si="2"/>
        <v>15</v>
      </c>
    </row>
    <row r="39" spans="1:14" ht="16.2" thickBot="1" x14ac:dyDescent="0.35">
      <c r="A39" s="13">
        <v>11</v>
      </c>
      <c r="B39" s="10">
        <v>12325670</v>
      </c>
      <c r="C39" s="10" t="s">
        <v>46</v>
      </c>
      <c r="D39" s="2">
        <v>9.5</v>
      </c>
      <c r="E39" s="2">
        <v>9</v>
      </c>
      <c r="F39" s="2">
        <v>25.5</v>
      </c>
      <c r="G39" s="18"/>
      <c r="H39" s="2" cm="1">
        <f t="array" ref="H39">AVERAGE(LARGE(CHOOSE({1,2,3},D39,E39,G39),{1,2}))</f>
        <v>9.25</v>
      </c>
      <c r="I39" s="2">
        <v>9.5</v>
      </c>
      <c r="J39" s="2">
        <v>3</v>
      </c>
      <c r="K39" s="29">
        <f t="shared" si="0"/>
        <v>12.5</v>
      </c>
      <c r="L39" s="29">
        <f t="shared" si="1"/>
        <v>38</v>
      </c>
      <c r="M39" s="2"/>
      <c r="N39" s="31">
        <f t="shared" si="2"/>
        <v>38</v>
      </c>
    </row>
    <row r="40" spans="1:14" x14ac:dyDescent="0.3">
      <c r="A40" s="5">
        <v>12</v>
      </c>
      <c r="B40" s="10">
        <v>12340612</v>
      </c>
      <c r="C40" s="10" t="s">
        <v>47</v>
      </c>
      <c r="D40" s="2">
        <v>2.5</v>
      </c>
      <c r="E40" s="2">
        <v>1</v>
      </c>
      <c r="F40" s="18"/>
      <c r="G40" s="2">
        <v>7.5</v>
      </c>
      <c r="H40" s="2" cm="1">
        <f t="array" ref="H40">AVERAGE(LARGE(CHOOSE({1,2,3},D40,E40,G40),{1,2}))</f>
        <v>5</v>
      </c>
      <c r="I40" s="2">
        <v>5</v>
      </c>
      <c r="J40" s="2">
        <v>3</v>
      </c>
      <c r="K40" s="29">
        <f t="shared" si="0"/>
        <v>8</v>
      </c>
      <c r="L40" s="30">
        <f t="shared" si="1"/>
        <v>8</v>
      </c>
      <c r="M40" s="2"/>
      <c r="N40" s="31">
        <f t="shared" si="2"/>
        <v>8</v>
      </c>
    </row>
    <row r="41" spans="1:14" ht="16.2" thickBot="1" x14ac:dyDescent="0.35">
      <c r="A41" s="13">
        <v>13</v>
      </c>
      <c r="B41" s="10">
        <v>12218139</v>
      </c>
      <c r="C41" s="10" t="s">
        <v>48</v>
      </c>
      <c r="D41" s="18"/>
      <c r="E41" s="2">
        <v>6</v>
      </c>
      <c r="F41" s="2">
        <v>21.5</v>
      </c>
      <c r="G41" s="2">
        <v>9</v>
      </c>
      <c r="H41" s="2" cm="1">
        <f t="array" ref="H41">AVERAGE(LARGE(CHOOSE({1,2,3},D41,E41,G41),{1,2}))</f>
        <v>7.5</v>
      </c>
      <c r="I41" s="2">
        <v>7.5</v>
      </c>
      <c r="J41" s="2">
        <v>3</v>
      </c>
      <c r="K41" s="29">
        <f t="shared" si="0"/>
        <v>10.5</v>
      </c>
      <c r="L41" s="29">
        <f t="shared" si="1"/>
        <v>32</v>
      </c>
      <c r="M41" s="2"/>
      <c r="N41" s="31">
        <f t="shared" si="2"/>
        <v>32</v>
      </c>
    </row>
    <row r="42" spans="1:14" x14ac:dyDescent="0.3">
      <c r="A42" s="5">
        <v>14</v>
      </c>
      <c r="B42" s="10">
        <v>12502085</v>
      </c>
      <c r="C42" s="10" t="s">
        <v>49</v>
      </c>
      <c r="D42" s="2">
        <v>12</v>
      </c>
      <c r="E42" s="2">
        <v>11.5</v>
      </c>
      <c r="F42" s="2">
        <v>26</v>
      </c>
      <c r="G42" s="2">
        <v>7.5</v>
      </c>
      <c r="H42" s="2" cm="1">
        <f t="array" ref="H42">AVERAGE(LARGE(CHOOSE({1,2,3},D42,E42,G42),{1,2}))</f>
        <v>11.75</v>
      </c>
      <c r="I42" s="2">
        <v>12</v>
      </c>
      <c r="J42" s="2">
        <v>5</v>
      </c>
      <c r="K42" s="29">
        <f t="shared" si="0"/>
        <v>17</v>
      </c>
      <c r="L42" s="29">
        <f t="shared" si="1"/>
        <v>43</v>
      </c>
      <c r="M42" s="2"/>
      <c r="N42" s="31">
        <f t="shared" si="2"/>
        <v>43</v>
      </c>
    </row>
    <row r="43" spans="1:14" ht="16.2" thickBot="1" x14ac:dyDescent="0.35">
      <c r="A43" s="13">
        <v>15</v>
      </c>
      <c r="B43" s="10">
        <v>12401369</v>
      </c>
      <c r="C43" s="10" t="s">
        <v>50</v>
      </c>
      <c r="D43" s="18"/>
      <c r="E43" s="2">
        <v>9</v>
      </c>
      <c r="F43" s="2">
        <v>21</v>
      </c>
      <c r="G43" s="2">
        <v>7.5</v>
      </c>
      <c r="H43" s="2" cm="1">
        <f t="array" ref="H43">AVERAGE(LARGE(CHOOSE({1,2,3},D43,E43,G43),{1,2}))</f>
        <v>8.25</v>
      </c>
      <c r="I43" s="2">
        <v>8.5</v>
      </c>
      <c r="J43" s="2">
        <v>3</v>
      </c>
      <c r="K43" s="29">
        <f t="shared" si="0"/>
        <v>11.5</v>
      </c>
      <c r="L43" s="29">
        <f t="shared" si="1"/>
        <v>32.5</v>
      </c>
      <c r="M43" s="2"/>
      <c r="N43" s="31">
        <f t="shared" si="2"/>
        <v>32.5</v>
      </c>
    </row>
    <row r="44" spans="1:14" ht="16.2" thickBot="1" x14ac:dyDescent="0.35">
      <c r="A44" s="26">
        <v>16</v>
      </c>
      <c r="B44" s="15">
        <v>12429497</v>
      </c>
      <c r="C44" s="15" t="s">
        <v>51</v>
      </c>
      <c r="D44" s="16">
        <v>12</v>
      </c>
      <c r="E44" s="16">
        <v>7</v>
      </c>
      <c r="F44" s="16">
        <v>21</v>
      </c>
      <c r="G44" s="24"/>
      <c r="H44" s="16" cm="1">
        <f t="array" ref="H44">AVERAGE(LARGE(CHOOSE({1,2,3},D44,E44,G44),{1,2}))</f>
        <v>9.5</v>
      </c>
      <c r="I44" s="16">
        <v>9.5</v>
      </c>
      <c r="J44" s="16">
        <v>4</v>
      </c>
      <c r="K44" s="34">
        <f t="shared" si="0"/>
        <v>13.5</v>
      </c>
      <c r="L44" s="34">
        <f t="shared" si="1"/>
        <v>34.5</v>
      </c>
      <c r="M44" s="16"/>
      <c r="N44" s="35">
        <f t="shared" si="2"/>
        <v>34.5</v>
      </c>
    </row>
    <row r="47" spans="1:14" x14ac:dyDescent="0.3">
      <c r="H47" s="1" t="s">
        <v>53</v>
      </c>
    </row>
  </sheetData>
  <mergeCells count="3">
    <mergeCell ref="B1:B2"/>
    <mergeCell ref="A1:A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Iyad</dc:creator>
  <cp:lastModifiedBy>إياد ولويل</cp:lastModifiedBy>
  <dcterms:created xsi:type="dcterms:W3CDTF">2015-06-05T18:17:20Z</dcterms:created>
  <dcterms:modified xsi:type="dcterms:W3CDTF">2026-08-04T20:06:36Z</dcterms:modified>
</cp:coreProperties>
</file>